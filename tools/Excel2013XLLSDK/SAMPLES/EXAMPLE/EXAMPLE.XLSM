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macrosheets/sheet1.xml" ContentType="application/vnd.ms-excel.macro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vbaProjectSignature1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showHorizontalScroll="0" showVerticalScroll="0" showSheetTabs="0" xWindow="630" yWindow="105" windowWidth="10110" windowHeight="6555"/>
  </bookViews>
  <sheets>
    <sheet name="Examples from the Book" sheetId="1" r:id="rId1"/>
  </sheets>
  <functionGroups/>
  <definedNames>
    <definedName name="_xlnm.Auto_Open" localSheetId="0">'Examples from the Book'!$B$1</definedName>
    <definedName name="CALL__Form_1" localSheetId="0">'Examples from the Book'!$B$10</definedName>
    <definedName name="CALL__Form_2" localSheetId="0">'Examples from the Book'!$B$18</definedName>
    <definedName name="CALL1.DLL" localSheetId="0">'Examples from the Book'!$B$12</definedName>
    <definedName name="CALL1.Mac" localSheetId="0">'Examples from the Book'!$B$11</definedName>
    <definedName name="CALL1.Register" localSheetId="0">'Examples from the Book'!$B$13</definedName>
    <definedName name="CALL2.DLL" localSheetId="0">'Examples from the Book'!$B$20</definedName>
    <definedName name="CALL2.Mac" localSheetId="0">'Examples from the Book'!$B$19</definedName>
    <definedName name="CALLER" localSheetId="0">'Examples from the Book'!$B$25</definedName>
    <definedName name="debugPrintf" localSheetId="0">'Examples from the Book'!$B$31</definedName>
    <definedName name="EVALUATE.C">'Examples from the Book'!$B$42</definedName>
    <definedName name="Example" localSheetId="0">'Examples from the Book'!$B$3</definedName>
    <definedName name="Mac" localSheetId="0">(LEFT(GET.WORKSPACE(1),3)="Mac")</definedName>
    <definedName name="Platform" localSheetId="0">'Examples from the Book'!#REF!</definedName>
    <definedName name="REGISTER.ID.DLL" localSheetId="0">'Examples from the Book'!$B$86</definedName>
    <definedName name="REGISTER.ID.Mac" localSheetId="0">'Examples from the Book'!$B$85</definedName>
    <definedName name="REGISTER.ID.Register" localSheetId="0">'Examples from the Book'!$B$87</definedName>
    <definedName name="REGISTER1.DLL" localSheetId="0">'Examples from the Book'!$B$78</definedName>
    <definedName name="REGISTER1.Mac" localSheetId="0">'Examples from the Book'!$B$77</definedName>
    <definedName name="REGISTER1.Register" localSheetId="0">'Examples from the Book'!$B$79</definedName>
    <definedName name="regSF" localSheetId="0">'Examples from the Book'!$B$40:$C$40</definedName>
    <definedName name="RunIt" xlm="1" functionGroupId="14" shortcutKey="R">'Examples from the Book'!$B$246</definedName>
    <definedName name="Sep" localSheetId="0">'Examples from the Book'!$B$60</definedName>
    <definedName name="TestMacro" localSheetId="0">'Examples from the Book'!$B$242</definedName>
    <definedName name="UNREGISTER1.DLL" localSheetId="0">'Examples from the Book'!$B$156</definedName>
    <definedName name="UNREGISTER1.Mac" localSheetId="0">'Examples from the Book'!$B$155</definedName>
    <definedName name="UNREGISTER1.Register" localSheetId="0">'Examples from the Book'!$B$157</definedName>
    <definedName name="UNREGISTER2.DLL" localSheetId="0">'Examples from the Book'!$B$164</definedName>
    <definedName name="UNREGISTER2.Mac" localSheetId="0">'Examples from the Book'!$B$163</definedName>
    <definedName name="UNREGISTER2.Register" localSheetId="0">'Examples from the Book'!$B$165</definedName>
  </definedNames>
  <calcPr calcId="125725"/>
</workbook>
</file>

<file path=xl/sharedStrings.xml><?xml version="1.0" encoding="utf-8"?>
<sst xmlns="http://schemas.openxmlformats.org/spreadsheetml/2006/main" count="80" uniqueCount="54">
  <si>
    <t>AutoOpen</t>
  </si>
  <si>
    <t>Example</t>
  </si>
  <si>
    <t>CALL (Form 1)</t>
  </si>
  <si>
    <t>Get the platform</t>
  </si>
  <si>
    <t>Get DLL name and path</t>
  </si>
  <si>
    <t>Register DLL</t>
  </si>
  <si>
    <t>Call DLL</t>
  </si>
  <si>
    <t>Unregister DLL</t>
  </si>
  <si>
    <t>CALL (Form 2)</t>
  </si>
  <si>
    <t>CALLER</t>
  </si>
  <si>
    <t>debugPrintf</t>
  </si>
  <si>
    <t>EVALUATE.Macro</t>
  </si>
  <si>
    <t>Test Text</t>
  </si>
  <si>
    <t>EVALUATE.C</t>
  </si>
  <si>
    <t>Excel4v</t>
  </si>
  <si>
    <t>InitFramework</t>
  </si>
  <si>
    <t>QuitFramework</t>
  </si>
  <si>
    <t>REGISTER (Form 1)</t>
  </si>
  <si>
    <t>REGISTER.ID</t>
  </si>
  <si>
    <t>TempActiveCell</t>
  </si>
  <si>
    <t>TempActiveCell Example</t>
  </si>
  <si>
    <t>text for alert</t>
  </si>
  <si>
    <t>TempActiveColumn</t>
  </si>
  <si>
    <t>TempActiveRef</t>
  </si>
  <si>
    <t>TempActiveRow</t>
  </si>
  <si>
    <t>TempBool</t>
  </si>
  <si>
    <t>TempErr</t>
  </si>
  <si>
    <t>TempInt</t>
  </si>
  <si>
    <t>TempMissing</t>
  </si>
  <si>
    <t>TempNum</t>
  </si>
  <si>
    <t>TempStr</t>
  </si>
  <si>
    <t>UNREGISTER (Form 1)</t>
  </si>
  <si>
    <t>UNREGISTER (Form 2)</t>
  </si>
  <si>
    <t>xlAutoFree</t>
  </si>
  <si>
    <t>xlCoerce</t>
  </si>
  <si>
    <t>xlFree</t>
  </si>
  <si>
    <t>xlGetInst</t>
  </si>
  <si>
    <t>xlGetName</t>
  </si>
  <si>
    <t>xlSet</t>
  </si>
  <si>
    <t>leave blank filled in by XLL</t>
  </si>
  <si>
    <t>xlSheetId</t>
  </si>
  <si>
    <t>xlSheetNm</t>
  </si>
  <si>
    <t>xlStack</t>
  </si>
  <si>
    <t>xlUDF</t>
  </si>
  <si>
    <t>TestMacro</t>
  </si>
  <si>
    <t>RunIt</t>
  </si>
  <si>
    <t>Ctrl+Shift+R</t>
  </si>
  <si>
    <t>xlInternationalExample</t>
  </si>
  <si>
    <t>coerce B38 to it's contents</t>
  </si>
  <si>
    <t>Should not be called</t>
  </si>
  <si>
    <t>Excel12</t>
  </si>
  <si>
    <t>as Framework is not</t>
  </si>
  <si>
    <t>reentrant</t>
  </si>
  <si>
    <t>Excel12f</t>
  </si>
</sst>
</file>

<file path=xl/styles.xml><?xml version="1.0" encoding="utf-8"?>
<styleSheet xmlns="http://schemas.openxmlformats.org/spreadsheetml/2006/main">
  <fonts count="7">
    <font>
      <sz val="10"/>
      <name val="MS Sans Serif"/>
    </font>
    <font>
      <i/>
      <sz val="10"/>
      <name val="MS Sans Serif"/>
    </font>
    <font>
      <sz val="10"/>
      <name val="MS Sans Serif"/>
    </font>
    <font>
      <b/>
      <sz val="12"/>
      <name val="MS Sans Serif"/>
    </font>
    <font>
      <sz val="8"/>
      <name val="Helv"/>
    </font>
    <font>
      <sz val="8"/>
      <name val="MS Sans Serif"/>
    </font>
    <font>
      <sz val="10"/>
      <color indexed="16"/>
      <name val="MS Sans Serif"/>
    </font>
  </fonts>
  <fills count="4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darkGray">
        <fgColor indexed="2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2" borderId="0"/>
    <xf numFmtId="0" fontId="3" fillId="2" borderId="1"/>
    <xf numFmtId="0" fontId="2" fillId="3" borderId="0"/>
  </cellStyleXfs>
  <cellXfs count="23">
    <xf numFmtId="0" fontId="0" fillId="0" borderId="0" xfId="0"/>
    <xf numFmtId="0" fontId="3" fillId="2" borderId="1" xfId="2"/>
    <xf numFmtId="0" fontId="4" fillId="0" borderId="2" xfId="0" applyFont="1" applyBorder="1"/>
    <xf numFmtId="0" fontId="5" fillId="0" borderId="0" xfId="0" applyFont="1"/>
    <xf numFmtId="0" fontId="5" fillId="0" borderId="2" xfId="0" applyFont="1" applyBorder="1" applyAlignment="1"/>
    <xf numFmtId="0" fontId="5" fillId="0" borderId="3" xfId="0" applyFont="1" applyFill="1" applyBorder="1" applyAlignment="1"/>
    <xf numFmtId="0" fontId="6" fillId="0" borderId="4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6" fillId="3" borderId="0" xfId="0" applyFont="1" applyFill="1"/>
    <xf numFmtId="0" fontId="1" fillId="3" borderId="0" xfId="0" applyFont="1" applyFill="1"/>
    <xf numFmtId="0" fontId="2" fillId="3" borderId="0" xfId="3"/>
    <xf numFmtId="0" fontId="5" fillId="0" borderId="3" xfId="0" applyFont="1" applyBorder="1" applyAlignment="1"/>
    <xf numFmtId="0" fontId="6" fillId="0" borderId="5" xfId="0" applyFont="1" applyBorder="1"/>
    <xf numFmtId="0" fontId="1" fillId="0" borderId="4" xfId="0" applyFont="1" applyBorder="1"/>
    <xf numFmtId="0" fontId="6" fillId="0" borderId="6" xfId="0" applyFont="1" applyBorder="1"/>
    <xf numFmtId="0" fontId="0" fillId="0" borderId="7" xfId="0" applyBorder="1"/>
    <xf numFmtId="0" fontId="3" fillId="2" borderId="1" xfId="2" applyFont="1"/>
  </cellXfs>
  <cellStyles count="4">
    <cellStyle name="Normal" xfId="0" builtinId="0"/>
    <cellStyle name="Page" xfId="1"/>
    <cellStyle name="Run.Me" xfId="2"/>
    <cellStyle name="Sep" xfId="3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2" Type="http://schemas.microsoft.com/office/2006/relationships/vbaProjectSignature" Target="vbaProjectSignature1.bin"/></Relationships>
</file>

<file path=xl/_rels/workbook.xml.rels>&#65279;<?xml version="1.0" encoding="UTF-8" standalone="yes"?>
<Relationships xmlns="http://schemas.openxmlformats.org/package/2006/relationships">
  <Relationship Id="rId3" Type="http://schemas.openxmlformats.org/officeDocument/2006/relationships/styles" Target="styles.xml"/>
  <Relationship Id="rId2" Type="http://schemas.openxmlformats.org/officeDocument/2006/relationships/theme" Target="theme/theme1.xml"/>
  <Relationship Id="rId1" Type="http://schemas.microsoft.com/office/2006/relationships/xlMacrosheet" Target="macrosheets/sheet1.xml"/>
  <Relationship Id="rId5" Type="http://schemas.microsoft.com/office/2006/relationships/vbaProject" Target="vbaProject.bin"/>
  <Relationship Id="rId4" Type="http://schemas.openxmlformats.org/officeDocument/2006/relationships/sharedStrings" Target="sharedStrings.xml"/>
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:C249"/>
  <sheetViews>
    <sheetView showFormulas="1" showGridLines="0" tabSelected="1" workbookViewId="0">
      <selection activeCell="B1" sqref="B1"/>
    </sheetView>
  </sheetViews>
  <sheetFormatPr defaultRowHeight="12.75"/>
  <cols>
    <col min="1" max="1" width="9.5703125" style="9" customWidth="1"/>
    <col min="2" max="2" width="23.85546875" customWidth="1"/>
    <col min="3" max="3" width="10.7109375" style="13" customWidth="1"/>
    <col min="6" max="6" width="21" bestFit="1" customWidth="1"/>
  </cols>
  <sheetData>
    <row r="1" spans="1:3" ht="15.75">
      <c r="A1" s="18"/>
      <c r="B1" s="1" t="s">
        <v>0</v>
      </c>
      <c r="C1" s="19"/>
    </row>
    <row r="2" spans="1:3">
      <c r="A2" s="18"/>
      <c r="C2" s="11"/>
    </row>
    <row r="3" spans="1:3">
      <c r="A3" s="18" t="s">
        <v>1</v>
      </c>
      <c r="B3" t="str">
        <f>IF(LEFT(GET.WORKSPACE(1),3)="Mac","Example",CONCATENATE(INFO("directory"), "\Example.xll"))</f>
        <v>Example.xll</v>
      </c>
      <c r="C3" s="11"/>
    </row>
    <row r="4" spans="1:3">
      <c r="A4" s="18"/>
      <c r="C4" s="11"/>
    </row>
    <row r="5" spans="1:3">
      <c r="A5" s="18"/>
      <c r="C5" s="11"/>
    </row>
    <row r="6" spans="1:3">
      <c r="A6" s="18"/>
      <c r="C6" s="11"/>
    </row>
    <row r="7" spans="1:3">
      <c r="A7" s="18"/>
      <c r="B7" t="b">
        <f>RETURN()</f>
        <v>1</v>
      </c>
      <c r="C7" s="11"/>
    </row>
    <row r="8" spans="1:3">
      <c r="A8" s="20"/>
      <c r="B8" s="21"/>
      <c r="C8" s="12"/>
    </row>
    <row r="9" spans="1:3">
      <c r="A9" s="16"/>
      <c r="B9" s="16"/>
      <c r="C9" s="16"/>
    </row>
    <row r="10" spans="1:3" ht="15.75">
      <c r="A10" s="6"/>
      <c r="B10" s="1" t="s">
        <v>2</v>
      </c>
      <c r="C10" s="10"/>
    </row>
    <row r="11" spans="1:3">
      <c r="A11" s="7"/>
      <c r="B11" s="3" t="b">
        <f>LEFT(GET.WORKSPACE(1),3)="Mac"</f>
        <v>0</v>
      </c>
      <c r="C11" s="11" t="s">
        <v>3</v>
      </c>
    </row>
    <row r="12" spans="1:3">
      <c r="A12" s="7"/>
      <c r="B12" s="2" t="str">
        <f>IF(CALL1.Mac,"Example",CONCATENATE(INFO("directory"), "\Example.xll"))</f>
        <v>Example.xll</v>
      </c>
      <c r="C12" s="11" t="s">
        <v>4</v>
      </c>
    </row>
    <row r="13" spans="1:3">
      <c r="A13" s="7"/>
      <c r="B13" s="4">
        <f>REGISTER(CALL1.DLL, "xlCoerceExample", "II")</f>
        <v>1489371136</v>
      </c>
      <c r="C13" s="11" t="s">
        <v>5</v>
      </c>
    </row>
    <row r="14" spans="1:3">
      <c r="A14" s="7"/>
      <c r="B14" s="4">
        <f>CALL(CALL1.Register,42)</f>
        <v>1</v>
      </c>
      <c r="C14" s="11" t="s">
        <v>6</v>
      </c>
    </row>
    <row r="15" spans="1:3">
      <c r="A15" s="7"/>
      <c r="B15" s="4" t="b">
        <f>UNREGISTER(CALL1.Register)</f>
        <v>1</v>
      </c>
      <c r="C15" s="11" t="s">
        <v>7</v>
      </c>
    </row>
    <row r="16" spans="1:3">
      <c r="A16" s="8"/>
      <c r="B16" s="5" t="b">
        <f>RETURN()</f>
        <v>1</v>
      </c>
      <c r="C16" s="12"/>
    </row>
    <row r="17" spans="1:3">
      <c r="A17" s="14"/>
      <c r="B17" s="16"/>
      <c r="C17" s="15"/>
    </row>
    <row r="18" spans="1:3" ht="15.75">
      <c r="A18" s="6"/>
      <c r="B18" s="1" t="s">
        <v>8</v>
      </c>
      <c r="C18" s="10"/>
    </row>
    <row r="19" spans="1:3">
      <c r="A19" s="7"/>
      <c r="B19" s="3" t="b">
        <f>LEFT(GET.WORKSPACE(1),3)="Mac"</f>
        <v>0</v>
      </c>
      <c r="C19" s="11" t="s">
        <v>3</v>
      </c>
    </row>
    <row r="20" spans="1:3">
      <c r="A20" s="7"/>
      <c r="B20" s="2" t="str">
        <f>IF(CALL1.Mac,"Example",CONCATENATE(INFO("directory"), "\Example.xll"))</f>
        <v>Example.xll</v>
      </c>
      <c r="C20" s="11" t="s">
        <v>4</v>
      </c>
    </row>
    <row r="21" spans="1:3">
      <c r="A21" s="7"/>
      <c r="B21" s="4">
        <f>CALL(CALL2.DLL, "xlCoerceExample", "II",25)</f>
        <v>1</v>
      </c>
      <c r="C21" s="11"/>
    </row>
    <row r="22" spans="1:3">
      <c r="A22" s="7"/>
      <c r="B22" s="4" t="b">
        <f>UNREGISTER(REGISTER.ID(CALL2.DLL,"xlCoerceExample"))</f>
        <v>1</v>
      </c>
      <c r="C22" s="11"/>
    </row>
    <row r="23" spans="1:3">
      <c r="A23" s="8"/>
      <c r="B23" s="17" t="b">
        <f>RETURN()</f>
        <v>1</v>
      </c>
      <c r="C23" s="12"/>
    </row>
    <row r="24" spans="1:3">
      <c r="A24" s="16"/>
      <c r="B24" s="16"/>
      <c r="C24" s="16"/>
    </row>
    <row r="25" spans="1:3" ht="15.75">
      <c r="A25" s="6"/>
      <c r="B25" s="1" t="s">
        <v>9</v>
      </c>
      <c r="C25" s="10"/>
    </row>
    <row r="26" spans="1:3">
      <c r="A26" s="7"/>
      <c r="B26" s="3">
        <f>REGISTER(Example, "CallerExample", "I")</f>
        <v>-449445888</v>
      </c>
      <c r="C26" s="11"/>
    </row>
    <row r="27" spans="1:3">
      <c r="A27" s="7"/>
      <c r="B27" s="2">
        <f>CALL(B26)</f>
        <v>1</v>
      </c>
      <c r="C27" s="11"/>
    </row>
    <row r="28" spans="1:3">
      <c r="A28" s="7"/>
      <c r="B28" s="2" t="b">
        <f>UNREGISTER(Example)</f>
        <v>1</v>
      </c>
      <c r="C28" s="11"/>
    </row>
    <row r="29" spans="1:3">
      <c r="A29" s="8"/>
      <c r="B29" s="17" t="b">
        <f>RETURN()</f>
        <v>1</v>
      </c>
      <c r="C29" s="12"/>
    </row>
    <row r="30" spans="1:3">
      <c r="A30" s="16"/>
      <c r="B30" s="16"/>
      <c r="C30" s="16"/>
    </row>
    <row r="31" spans="1:3" ht="15.75">
      <c r="A31" s="6"/>
      <c r="B31" s="1" t="s">
        <v>10</v>
      </c>
      <c r="C31" s="10"/>
    </row>
    <row r="32" spans="1:3">
      <c r="A32" s="7"/>
      <c r="B32" s="3">
        <f>REGISTER(Example, "debugPrintfExample", "I")</f>
        <v>-500957184</v>
      </c>
      <c r="C32" s="11"/>
    </row>
    <row r="33" spans="1:3">
      <c r="A33" s="7"/>
      <c r="B33" s="2">
        <f>CALL(B32)</f>
        <v>1</v>
      </c>
      <c r="C33" s="11"/>
    </row>
    <row r="34" spans="1:3">
      <c r="A34" s="7"/>
      <c r="B34" s="2" t="b">
        <f>UNREGISTER(Example)</f>
        <v>1</v>
      </c>
      <c r="C34" s="11"/>
    </row>
    <row r="35" spans="1:3">
      <c r="A35" s="8"/>
      <c r="B35" s="17" t="b">
        <f>RETURN()</f>
        <v>1</v>
      </c>
      <c r="C35" s="12"/>
    </row>
    <row r="36" spans="1:3">
      <c r="A36" s="16"/>
      <c r="B36" s="16"/>
      <c r="C36" s="16"/>
    </row>
    <row r="37" spans="1:3" ht="15.75">
      <c r="A37" s="6"/>
      <c r="B37" s="1" t="s">
        <v>11</v>
      </c>
      <c r="C37" s="10"/>
    </row>
    <row r="38" spans="1:3">
      <c r="A38" s="7"/>
      <c r="B38" s="3" t="s">
        <v>12</v>
      </c>
      <c r="C38" s="11"/>
    </row>
    <row r="39" spans="1:3">
      <c r="A39" s="7"/>
      <c r="B39" s="2" t="b">
        <f>ALERT(EVALUATE("b38"),2)</f>
        <v>1</v>
      </c>
      <c r="C39" s="11" t="s">
        <v>48</v>
      </c>
    </row>
    <row r="40" spans="1:3">
      <c r="A40" s="8"/>
      <c r="B40" s="17" t="b">
        <f>RETURN()</f>
        <v>1</v>
      </c>
      <c r="C40" s="12"/>
    </row>
    <row r="41" spans="1:3">
      <c r="A41" s="16"/>
      <c r="B41" s="16"/>
      <c r="C41" s="16"/>
    </row>
    <row r="42" spans="1:3" ht="15.75">
      <c r="A42" s="6"/>
      <c r="B42" s="1" t="s">
        <v>13</v>
      </c>
      <c r="C42" s="10"/>
    </row>
    <row r="43" spans="1:3">
      <c r="A43" s="7"/>
      <c r="B43" s="3">
        <f>REGISTER(Example, "EvaluateExample", "I")</f>
        <v>1561919488</v>
      </c>
      <c r="C43" s="11"/>
    </row>
    <row r="44" spans="1:3">
      <c r="A44" s="7"/>
      <c r="B44" s="2">
        <f>CALL(B43)</f>
        <v>1</v>
      </c>
      <c r="C44" s="11"/>
    </row>
    <row r="45" spans="1:3">
      <c r="A45" s="7"/>
      <c r="B45" s="2" t="b">
        <f>UNREGISTER(Example)</f>
        <v>1</v>
      </c>
      <c r="C45" s="11"/>
    </row>
    <row r="46" spans="1:3">
      <c r="A46" s="8"/>
      <c r="B46" s="17" t="b">
        <f>RETURN()</f>
        <v>1</v>
      </c>
      <c r="C46" s="12"/>
    </row>
    <row r="47" spans="1:3">
      <c r="A47" s="16"/>
      <c r="B47" s="16"/>
      <c r="C47" s="16"/>
    </row>
    <row r="48" spans="1:3" ht="15.75">
      <c r="A48" s="6"/>
      <c r="B48" s="1" t="s">
        <v>53</v>
      </c>
      <c r="C48" s="10"/>
    </row>
    <row r="49" spans="1:3">
      <c r="A49" s="7"/>
      <c r="B49" s="3">
        <f>REGISTER(Example, "Excel12fExample", "I")</f>
        <v>-1756233728</v>
      </c>
      <c r="C49" s="11"/>
    </row>
    <row r="50" spans="1:3">
      <c r="A50" s="7"/>
      <c r="B50" s="2">
        <f>CALL(B49)</f>
        <v>1</v>
      </c>
      <c r="C50" s="11"/>
    </row>
    <row r="51" spans="1:3">
      <c r="A51" s="7"/>
      <c r="B51" s="2" t="b">
        <f>UNREGISTER(Example)</f>
        <v>1</v>
      </c>
      <c r="C51" s="11"/>
    </row>
    <row r="52" spans="1:3">
      <c r="A52" s="8"/>
      <c r="B52" s="17" t="b">
        <f>RETURN()</f>
        <v>1</v>
      </c>
      <c r="C52" s="12"/>
    </row>
    <row r="53" spans="1:3">
      <c r="A53" s="16"/>
      <c r="B53" s="16"/>
      <c r="C53" s="16"/>
    </row>
    <row r="54" spans="1:3" ht="15.75">
      <c r="A54" s="6"/>
      <c r="B54" s="22" t="s">
        <v>50</v>
      </c>
      <c r="C54" s="10"/>
    </row>
    <row r="55" spans="1:3">
      <c r="A55" s="7"/>
      <c r="B55" s="3">
        <f>REGISTER(Example, "Excel12Example", "I")</f>
        <v>914620416</v>
      </c>
      <c r="C55" s="11"/>
    </row>
    <row r="56" spans="1:3">
      <c r="A56" s="7"/>
      <c r="B56" s="2">
        <f>CALL(B55)</f>
        <v>1</v>
      </c>
      <c r="C56" s="11"/>
    </row>
    <row r="57" spans="1:3">
      <c r="A57" s="7"/>
      <c r="B57" s="2" t="b">
        <f>UNREGISTER(Example)</f>
        <v>1</v>
      </c>
      <c r="C57" s="11"/>
    </row>
    <row r="58" spans="1:3">
      <c r="A58" s="8"/>
      <c r="B58" s="17" t="b">
        <f>RETURN()</f>
        <v>1</v>
      </c>
      <c r="C58" s="12"/>
    </row>
    <row r="59" spans="1:3">
      <c r="A59" s="16"/>
      <c r="B59" s="16"/>
      <c r="C59" s="16"/>
    </row>
    <row r="60" spans="1:3" ht="15.75">
      <c r="A60" s="6"/>
      <c r="B60" s="1" t="s">
        <v>14</v>
      </c>
      <c r="C60" s="10"/>
    </row>
    <row r="61" spans="1:3">
      <c r="A61" s="7"/>
      <c r="B61" s="3" t="b">
        <f>ALERT("Code for this example is in framework.c",2)</f>
        <v>1</v>
      </c>
      <c r="C61" s="11"/>
    </row>
    <row r="62" spans="1:3">
      <c r="A62" s="8"/>
      <c r="B62" s="17" t="b">
        <f>RETURN()</f>
        <v>1</v>
      </c>
      <c r="C62" s="12"/>
    </row>
    <row r="63" spans="1:3">
      <c r="A63" s="16"/>
      <c r="B63" s="16"/>
      <c r="C63" s="16"/>
    </row>
    <row r="64" spans="1:3" ht="15.75">
      <c r="A64" s="6"/>
      <c r="B64" s="1" t="s">
        <v>15</v>
      </c>
      <c r="C64" s="10"/>
    </row>
    <row r="65" spans="1:3">
      <c r="A65" s="7" t="s">
        <v>49</v>
      </c>
      <c r="B65" s="3" t="str">
        <f>REGISTER(Example)</f>
        <v>debug\Example.xll</v>
      </c>
      <c r="C65" s="11"/>
    </row>
    <row r="66" spans="1:3">
      <c r="A66" s="7" t="s">
        <v>51</v>
      </c>
      <c r="B66" s="3">
        <f>InitFrameworkExample()</f>
        <v>1</v>
      </c>
      <c r="C66" s="11"/>
    </row>
    <row r="67" spans="1:3">
      <c r="A67" s="7" t="s">
        <v>52</v>
      </c>
      <c r="B67" s="3" t="b">
        <f>UNREGISTER(Example)</f>
        <v>1</v>
      </c>
      <c r="C67" s="11"/>
    </row>
    <row r="68" spans="1:3">
      <c r="A68" s="8"/>
      <c r="B68" s="17" t="b">
        <f>RETURN()</f>
        <v>1</v>
      </c>
      <c r="C68" s="12"/>
    </row>
    <row r="69" spans="1:3">
      <c r="A69" s="16"/>
      <c r="B69" s="16"/>
      <c r="C69" s="16"/>
    </row>
    <row r="70" spans="1:3" ht="15.75">
      <c r="A70" s="6"/>
      <c r="B70" s="1" t="s">
        <v>16</v>
      </c>
      <c r="C70" s="10"/>
    </row>
    <row r="71" spans="1:3">
      <c r="A71" s="7" t="s">
        <v>49</v>
      </c>
      <c r="B71" s="3" t="b">
        <f>LEFT(GET.WORKSPACE(1),3)="Mac"</f>
        <v>0</v>
      </c>
      <c r="C71" s="11"/>
    </row>
    <row r="72" spans="1:3">
      <c r="A72" s="7" t="s">
        <v>51</v>
      </c>
      <c r="B72" s="3" t="str">
        <f>REGISTER(Example)</f>
        <v>debug\Example.xll</v>
      </c>
      <c r="C72" s="11"/>
    </row>
    <row r="73" spans="1:3">
      <c r="A73" s="7" t="s">
        <v>52</v>
      </c>
      <c r="B73" s="3" t="b">
        <f>IF(B71,QuitFrameworkExample(),ALERT("This function is only available on the Macintosh.",2))</f>
        <v>1</v>
      </c>
      <c r="C73" s="11"/>
    </row>
    <row r="74" spans="1:3">
      <c r="A74" s="8"/>
      <c r="B74" s="17" t="b">
        <f>RETURN()</f>
        <v>1</v>
      </c>
      <c r="C74" s="12"/>
    </row>
    <row r="75" spans="1:3">
      <c r="A75" s="16"/>
      <c r="B75" s="16"/>
      <c r="C75" s="16"/>
    </row>
    <row r="76" spans="1:3" ht="15.75">
      <c r="A76" s="6"/>
      <c r="B76" s="1" t="s">
        <v>17</v>
      </c>
      <c r="C76" s="10"/>
    </row>
    <row r="77" spans="1:3">
      <c r="A77" s="7"/>
      <c r="B77" s="3" t="b">
        <f>LEFT(GET.WORKSPACE(1),3)="Mac"</f>
        <v>0</v>
      </c>
      <c r="C77" s="11" t="s">
        <v>3</v>
      </c>
    </row>
    <row r="78" spans="1:3">
      <c r="A78" s="7"/>
      <c r="B78" s="2" t="str">
        <f>IF(REGISTER1.Mac,"Example",CONCATENATE(INFO("directory"), "\Example.xll"))</f>
        <v>Example.xll</v>
      </c>
      <c r="C78" s="11" t="s">
        <v>4</v>
      </c>
    </row>
    <row r="79" spans="1:3">
      <c r="A79" s="7"/>
      <c r="B79" s="4">
        <f>REGISTER(REGISTER1.DLL, "xlCoerceExample", "II","xlCoerceExample","input",1,,"A")</f>
        <v>1489371136</v>
      </c>
      <c r="C79" s="11" t="s">
        <v>5</v>
      </c>
    </row>
    <row r="80" spans="1:3">
      <c r="A80" s="7"/>
      <c r="B80" s="4">
        <f>CALL(REGISTER1.Register,42)</f>
        <v>1</v>
      </c>
      <c r="C80" s="11" t="s">
        <v>6</v>
      </c>
    </row>
    <row r="81" spans="1:3">
      <c r="A81" s="7"/>
      <c r="B81" s="4" t="b">
        <f>UNREGISTER(REGISTER1.Register)</f>
        <v>1</v>
      </c>
      <c r="C81" s="11" t="s">
        <v>7</v>
      </c>
    </row>
    <row r="82" spans="1:3">
      <c r="A82" s="8"/>
      <c r="B82" s="5" t="b">
        <f>RETURN()</f>
        <v>1</v>
      </c>
      <c r="C82" s="12"/>
    </row>
    <row r="83" spans="1:3">
      <c r="A83" s="16"/>
      <c r="B83" s="16"/>
      <c r="C83" s="16"/>
    </row>
    <row r="84" spans="1:3" ht="15.75">
      <c r="A84" s="6"/>
      <c r="B84" s="1" t="s">
        <v>18</v>
      </c>
      <c r="C84" s="10"/>
    </row>
    <row r="85" spans="1:3">
      <c r="A85" s="7"/>
      <c r="B85" s="3" t="b">
        <f>LEFT(GET.WORKSPACE(1),3)="Mac"</f>
        <v>0</v>
      </c>
      <c r="C85" s="11" t="s">
        <v>3</v>
      </c>
    </row>
    <row r="86" spans="1:3">
      <c r="A86" s="7"/>
      <c r="B86" s="2" t="str">
        <f>IF(REGISTER.ID.Mac,"Example",CONCATENATE(INFO("directory"), "\Example.xll"))</f>
        <v>Example.xll</v>
      </c>
      <c r="C86" s="11" t="s">
        <v>4</v>
      </c>
    </row>
    <row r="87" spans="1:3">
      <c r="A87" s="7"/>
      <c r="B87" s="4">
        <f>REGISTER(REGISTER.ID.DLL, "xlCoerceExample", "II","xlCoerceExample","input",1,,"A")</f>
        <v>1489371136</v>
      </c>
      <c r="C87" s="11" t="s">
        <v>5</v>
      </c>
    </row>
    <row r="88" spans="1:3">
      <c r="A88" s="7"/>
      <c r="B88" s="4">
        <f>CALL(REGISTER.ID.Register,42)</f>
        <v>1</v>
      </c>
      <c r="C88" s="11" t="s">
        <v>6</v>
      </c>
    </row>
    <row r="89" spans="1:3">
      <c r="A89" s="7"/>
      <c r="B89" s="4" t="b">
        <f>UNREGISTER(REGISTER.ID(REGISTER.ID.DLL,"xlCoerceExample"))</f>
        <v>1</v>
      </c>
      <c r="C89" s="11" t="s">
        <v>7</v>
      </c>
    </row>
    <row r="90" spans="1:3">
      <c r="A90" s="8"/>
      <c r="B90" s="5" t="b">
        <f>RETURN()</f>
        <v>1</v>
      </c>
      <c r="C90" s="12"/>
    </row>
    <row r="91" spans="1:3">
      <c r="A91" s="16"/>
      <c r="B91" s="16"/>
      <c r="C91" s="16"/>
    </row>
    <row r="92" spans="1:3" ht="15.75">
      <c r="A92" s="6"/>
      <c r="B92" s="1" t="s">
        <v>19</v>
      </c>
      <c r="C92" s="10"/>
    </row>
    <row r="93" spans="1:3">
      <c r="A93" s="7"/>
      <c r="B93" s="3">
        <f>REGISTER(Example, "TempActiveCellExample", "I")</f>
        <v>-1749483520</v>
      </c>
      <c r="C93" s="11"/>
    </row>
    <row r="94" spans="1:3">
      <c r="A94" s="7"/>
      <c r="B94" s="3" t="s">
        <v>20</v>
      </c>
      <c r="C94" s="11" t="s">
        <v>21</v>
      </c>
    </row>
    <row r="95" spans="1:3">
      <c r="A95" s="7"/>
      <c r="B95" s="3">
        <f>CALL(B93)</f>
        <v>1</v>
      </c>
      <c r="C95" s="11"/>
    </row>
    <row r="96" spans="1:3">
      <c r="A96" s="7"/>
      <c r="B96" s="3" t="b">
        <f>UNREGISTER(Example)</f>
        <v>1</v>
      </c>
      <c r="C96" s="11"/>
    </row>
    <row r="97" spans="1:3">
      <c r="A97" s="8"/>
      <c r="B97" s="17" t="b">
        <f>RETURN()</f>
        <v>1</v>
      </c>
      <c r="C97" s="12"/>
    </row>
    <row r="98" spans="1:3">
      <c r="A98" s="16"/>
      <c r="B98" s="16"/>
      <c r="C98" s="16"/>
    </row>
    <row r="99" spans="1:3" ht="15.75">
      <c r="A99" s="6"/>
      <c r="B99" s="1" t="s">
        <v>22</v>
      </c>
      <c r="C99" s="10"/>
    </row>
    <row r="100" spans="1:3">
      <c r="A100" s="7"/>
      <c r="B100" s="3">
        <f>REGISTER(Example, "TempActiveColumnExample", "I")</f>
        <v>-1372913664</v>
      </c>
      <c r="C100" s="11"/>
    </row>
    <row r="101" spans="1:3">
      <c r="A101" s="7"/>
      <c r="B101" s="3">
        <f>CALL(B100)</f>
        <v>1</v>
      </c>
      <c r="C101" s="11"/>
    </row>
    <row r="102" spans="1:3">
      <c r="A102" s="7"/>
      <c r="B102" s="3" t="b">
        <f>UNREGISTER(Example)</f>
        <v>1</v>
      </c>
      <c r="C102" s="11"/>
    </row>
    <row r="103" spans="1:3">
      <c r="A103" s="8"/>
      <c r="B103" s="17" t="b">
        <f>RETURN()</f>
        <v>1</v>
      </c>
      <c r="C103" s="12"/>
    </row>
    <row r="104" spans="1:3">
      <c r="A104" s="16"/>
      <c r="B104" s="16"/>
      <c r="C104" s="16"/>
    </row>
    <row r="105" spans="1:3" ht="15.75">
      <c r="A105" s="6"/>
      <c r="B105" s="1" t="s">
        <v>23</v>
      </c>
      <c r="C105" s="10"/>
    </row>
    <row r="106" spans="1:3">
      <c r="A106" s="7"/>
      <c r="B106" s="3">
        <f>REGISTER(Example, "TempActiveRefExample", "I")</f>
        <v>931135488</v>
      </c>
      <c r="C106" s="11"/>
    </row>
    <row r="107" spans="1:3">
      <c r="A107" s="7"/>
      <c r="B107" s="3">
        <f>CALL(B106)</f>
        <v>1</v>
      </c>
      <c r="C107" s="11"/>
    </row>
    <row r="108" spans="1:3">
      <c r="A108" s="7"/>
      <c r="B108" s="3" t="b">
        <f>UNREGISTER(Example)</f>
        <v>1</v>
      </c>
      <c r="C108" s="11"/>
    </row>
    <row r="109" spans="1:3">
      <c r="A109" s="8"/>
      <c r="B109" s="17" t="b">
        <f>RETURN()</f>
        <v>1</v>
      </c>
      <c r="C109" s="12"/>
    </row>
    <row r="110" spans="1:3">
      <c r="A110" s="16"/>
      <c r="B110" s="16"/>
      <c r="C110" s="16"/>
    </row>
    <row r="111" spans="1:3" ht="15.75">
      <c r="A111" s="6"/>
      <c r="B111" s="1" t="s">
        <v>24</v>
      </c>
      <c r="C111" s="10"/>
    </row>
    <row r="112" spans="1:3">
      <c r="A112" s="7"/>
      <c r="B112" s="3">
        <f>REGISTER(Example, "TempActiveRowExample", "I")</f>
        <v>925958144</v>
      </c>
      <c r="C112" s="11"/>
    </row>
    <row r="113" spans="1:3">
      <c r="A113" s="7"/>
      <c r="B113" s="3">
        <f>CALL(B112)</f>
        <v>1</v>
      </c>
      <c r="C113" s="11"/>
    </row>
    <row r="114" spans="1:3">
      <c r="A114" s="7"/>
      <c r="B114" s="3" t="b">
        <f>UNREGISTER(Example)</f>
        <v>1</v>
      </c>
      <c r="C114" s="11"/>
    </row>
    <row r="115" spans="1:3">
      <c r="A115" s="8"/>
      <c r="B115" s="17" t="b">
        <f>RETURN()</f>
        <v>1</v>
      </c>
      <c r="C115" s="12"/>
    </row>
    <row r="116" spans="1:3">
      <c r="A116" s="16"/>
      <c r="B116" s="16"/>
      <c r="C116" s="16"/>
    </row>
    <row r="117" spans="1:3" ht="15.75">
      <c r="A117" s="6"/>
      <c r="B117" s="1" t="s">
        <v>25</v>
      </c>
      <c r="C117" s="10"/>
    </row>
    <row r="118" spans="1:3">
      <c r="A118" s="7"/>
      <c r="B118" s="3">
        <f>REGISTER(Example, "TempBoolExample", "I")</f>
        <v>561905664</v>
      </c>
      <c r="C118" s="11"/>
    </row>
    <row r="119" spans="1:3">
      <c r="A119" s="7"/>
      <c r="B119" s="3" t="b">
        <f>MESSAGE(TRUE,"Test Text to clear")</f>
        <v>1</v>
      </c>
      <c r="C119" s="11"/>
    </row>
    <row r="120" spans="1:3">
      <c r="A120" s="7"/>
      <c r="B120" s="3">
        <f>CALL(B118)</f>
        <v>1</v>
      </c>
      <c r="C120" s="11"/>
    </row>
    <row r="121" spans="1:3">
      <c r="A121" s="7"/>
      <c r="B121" s="3" t="b">
        <f>UNREGISTER(Example)</f>
        <v>1</v>
      </c>
      <c r="C121" s="11"/>
    </row>
    <row r="122" spans="1:3">
      <c r="A122" s="8"/>
      <c r="B122" s="17" t="b">
        <f>RETURN()</f>
        <v>1</v>
      </c>
      <c r="C122" s="12"/>
    </row>
    <row r="123" spans="1:3">
      <c r="A123" s="16"/>
      <c r="B123" s="16"/>
      <c r="C123" s="16"/>
    </row>
    <row r="124" spans="1:3" ht="15.75">
      <c r="A124" s="6"/>
      <c r="B124" s="1" t="s">
        <v>26</v>
      </c>
      <c r="C124" s="10"/>
    </row>
    <row r="125" spans="1:3">
      <c r="A125" s="7"/>
      <c r="B125" s="3">
        <f>REGISTER(Example, "TempErrExample", "P")</f>
        <v>1529544704</v>
      </c>
      <c r="C125" s="11"/>
    </row>
    <row r="126" spans="1:3">
      <c r="A126" s="7"/>
      <c r="B126" s="3" t="e">
        <f>CALL(B125)</f>
        <v>#NUM!</v>
      </c>
      <c r="C126" s="11"/>
    </row>
    <row r="127" spans="1:3">
      <c r="A127" s="7"/>
      <c r="B127" s="3" t="b">
        <f>UNREGISTER(Example)</f>
        <v>1</v>
      </c>
      <c r="C127" s="11"/>
    </row>
    <row r="128" spans="1:3">
      <c r="A128" s="8"/>
      <c r="B128" s="17" t="b">
        <f>RETURN()</f>
        <v>1</v>
      </c>
      <c r="C128" s="12"/>
    </row>
    <row r="129" spans="1:3">
      <c r="A129" s="16"/>
      <c r="B129" s="16"/>
      <c r="C129" s="16"/>
    </row>
    <row r="130" spans="1:3" ht="15.75">
      <c r="A130" s="6"/>
      <c r="B130" s="1" t="s">
        <v>27</v>
      </c>
      <c r="C130" s="10"/>
    </row>
    <row r="131" spans="1:3">
      <c r="A131" s="7"/>
      <c r="B131" s="3">
        <f>REGISTER(Example, "TempIntExample", "I")</f>
        <v>1458372608</v>
      </c>
      <c r="C131" s="11"/>
    </row>
    <row r="132" spans="1:3">
      <c r="A132" s="7"/>
      <c r="B132" s="3">
        <f>CALL(B131)</f>
        <v>1</v>
      </c>
      <c r="C132" s="11"/>
    </row>
    <row r="133" spans="1:3">
      <c r="A133" s="7"/>
      <c r="B133" s="3" t="b">
        <f>UNREGISTER(Example)</f>
        <v>1</v>
      </c>
      <c r="C133" s="11"/>
    </row>
    <row r="134" spans="1:3">
      <c r="A134" s="8"/>
      <c r="B134" s="17" t="b">
        <f>RETURN()</f>
        <v>1</v>
      </c>
      <c r="C134" s="12"/>
    </row>
    <row r="135" spans="1:3">
      <c r="A135" s="16"/>
      <c r="B135" s="16"/>
      <c r="C135" s="16"/>
    </row>
    <row r="136" spans="1:3" ht="15.75">
      <c r="A136" s="6"/>
      <c r="B136" s="1" t="s">
        <v>28</v>
      </c>
      <c r="C136" s="10"/>
    </row>
    <row r="137" spans="1:3">
      <c r="A137" s="7"/>
      <c r="B137" s="3">
        <f>REGISTER(Example, "TempMissingExample", "I")</f>
        <v>219807744</v>
      </c>
      <c r="C137" s="11"/>
    </row>
    <row r="138" spans="1:3">
      <c r="A138" s="7"/>
      <c r="B138" s="3">
        <f>CALL(B137)</f>
        <v>1</v>
      </c>
      <c r="C138" s="11"/>
    </row>
    <row r="139" spans="1:3">
      <c r="A139" s="7"/>
      <c r="B139" s="3" t="b">
        <f>UNREGISTER(Example)</f>
        <v>1</v>
      </c>
      <c r="C139" s="11"/>
    </row>
    <row r="140" spans="1:3">
      <c r="A140" s="8"/>
      <c r="B140" s="17" t="b">
        <f>RETURN()</f>
        <v>1</v>
      </c>
      <c r="C140" s="12"/>
    </row>
    <row r="141" spans="1:3">
      <c r="A141" s="16"/>
      <c r="B141" s="16"/>
      <c r="C141" s="16"/>
    </row>
    <row r="142" spans="1:3" ht="15.75">
      <c r="A142" s="6"/>
      <c r="B142" s="1" t="s">
        <v>29</v>
      </c>
      <c r="C142" s="10"/>
    </row>
    <row r="143" spans="1:3">
      <c r="A143" s="7"/>
      <c r="B143" s="3">
        <f>REGISTER(Example, "TempNumExample", "I")</f>
        <v>1346633728</v>
      </c>
      <c r="C143" s="11"/>
    </row>
    <row r="144" spans="1:3">
      <c r="A144" s="7"/>
      <c r="B144" s="3">
        <f>CALL(B143)</f>
        <v>1</v>
      </c>
      <c r="C144" s="11"/>
    </row>
    <row r="145" spans="1:3">
      <c r="A145" s="7"/>
      <c r="B145" s="3" t="b">
        <f>UNREGISTER(Example)</f>
        <v>1</v>
      </c>
      <c r="C145" s="11"/>
    </row>
    <row r="146" spans="1:3">
      <c r="A146" s="8"/>
      <c r="B146" s="17" t="b">
        <f>RETURN()</f>
        <v>1</v>
      </c>
      <c r="C146" s="12"/>
    </row>
    <row r="147" spans="1:3">
      <c r="A147" s="16"/>
      <c r="B147" s="16"/>
      <c r="C147" s="16"/>
    </row>
    <row r="148" spans="1:3" ht="15.75">
      <c r="A148" s="6"/>
      <c r="B148" s="1" t="s">
        <v>30</v>
      </c>
      <c r="C148" s="10"/>
    </row>
    <row r="149" spans="1:3">
      <c r="A149" s="7"/>
      <c r="B149" s="3">
        <f>REGISTER(Example, "TempStrExample", "I")</f>
        <v>1296760832</v>
      </c>
      <c r="C149" s="11"/>
    </row>
    <row r="150" spans="1:3">
      <c r="A150" s="7"/>
      <c r="B150" s="3">
        <f>CALL(B149)</f>
        <v>1</v>
      </c>
      <c r="C150" s="11"/>
    </row>
    <row r="151" spans="1:3">
      <c r="A151" s="7"/>
      <c r="B151" s="3" t="b">
        <f>UNREGISTER(Example)</f>
        <v>1</v>
      </c>
      <c r="C151" s="11"/>
    </row>
    <row r="152" spans="1:3">
      <c r="A152" s="8"/>
      <c r="B152" s="17" t="b">
        <f>RETURN()</f>
        <v>1</v>
      </c>
      <c r="C152" s="12"/>
    </row>
    <row r="153" spans="1:3">
      <c r="A153" s="16"/>
      <c r="B153" s="16"/>
      <c r="C153" s="16"/>
    </row>
    <row r="154" spans="1:3" ht="15.75">
      <c r="A154" s="6"/>
      <c r="B154" s="1" t="s">
        <v>31</v>
      </c>
      <c r="C154" s="10"/>
    </row>
    <row r="155" spans="1:3">
      <c r="A155" s="7"/>
      <c r="B155" s="3" t="b">
        <f>LEFT(GET.WORKSPACE(1),3)="Mac"</f>
        <v>0</v>
      </c>
      <c r="C155" s="11" t="s">
        <v>3</v>
      </c>
    </row>
    <row r="156" spans="1:3">
      <c r="A156" s="7"/>
      <c r="B156" s="2" t="str">
        <f>IF(UNREGISTER1.Mac,"Example",CONCATENATE(INFO("directory"), "\Example.xll"))</f>
        <v>Example.xll</v>
      </c>
      <c r="C156" s="11" t="s">
        <v>4</v>
      </c>
    </row>
    <row r="157" spans="1:3">
      <c r="A157" s="7"/>
      <c r="B157" s="4">
        <f>REGISTER(UNREGISTER1.DLL, "xlCoerceExample", "II","xlCoerceExample","input",1,,"A")</f>
        <v>1489371136</v>
      </c>
      <c r="C157" s="11" t="s">
        <v>5</v>
      </c>
    </row>
    <row r="158" spans="1:3">
      <c r="A158" s="7"/>
      <c r="B158" s="4">
        <f>CALL(UNREGISTER1.Register,42)</f>
        <v>1</v>
      </c>
      <c r="C158" s="11" t="s">
        <v>6</v>
      </c>
    </row>
    <row r="159" spans="1:3">
      <c r="A159" s="7"/>
      <c r="B159" s="4" t="b">
        <f>UNREGISTER(UNREGISTER1.Register)</f>
        <v>1</v>
      </c>
      <c r="C159" s="11" t="s">
        <v>7</v>
      </c>
    </row>
    <row r="160" spans="1:3">
      <c r="A160" s="8"/>
      <c r="B160" s="5" t="b">
        <f>RETURN()</f>
        <v>1</v>
      </c>
      <c r="C160" s="12"/>
    </row>
    <row r="161" spans="1:3">
      <c r="A161" s="16"/>
      <c r="B161" s="16"/>
      <c r="C161" s="16"/>
    </row>
    <row r="162" spans="1:3" ht="15.75">
      <c r="A162" s="6"/>
      <c r="B162" s="1" t="s">
        <v>32</v>
      </c>
      <c r="C162" s="10"/>
    </row>
    <row r="163" spans="1:3">
      <c r="A163" s="7"/>
      <c r="B163" s="3" t="b">
        <f>LEFT(GET.WORKSPACE(1),3)="Mac"</f>
        <v>0</v>
      </c>
      <c r="C163" s="11" t="s">
        <v>3</v>
      </c>
    </row>
    <row r="164" spans="1:3">
      <c r="A164" s="7"/>
      <c r="B164" s="2" t="str">
        <f>IF(UNREGISTER2.Mac,"Example",CONCATENATE(INFO("directory"), "\Example.xll"))</f>
        <v>Example.xll</v>
      </c>
      <c r="C164" s="11" t="s">
        <v>4</v>
      </c>
    </row>
    <row r="165" spans="1:3">
      <c r="A165" s="7"/>
      <c r="B165" s="4">
        <f>REGISTER(UNREGISTER2.DLL, "xlCoerceExample", "II","xlCoerceExample","input",1,,"A")</f>
        <v>1489371136</v>
      </c>
      <c r="C165" s="11" t="s">
        <v>5</v>
      </c>
    </row>
    <row r="166" spans="1:3">
      <c r="A166" s="7"/>
      <c r="B166" s="4">
        <f>CALL(UNREGISTER2.Register,42)</f>
        <v>1</v>
      </c>
      <c r="C166" s="11" t="s">
        <v>6</v>
      </c>
    </row>
    <row r="167" spans="1:3">
      <c r="A167" s="7"/>
      <c r="B167" s="4" t="b">
        <f>UNREGISTER(UNREGISTER2.DLL)</f>
        <v>1</v>
      </c>
      <c r="C167" s="11" t="s">
        <v>7</v>
      </c>
    </row>
    <row r="168" spans="1:3">
      <c r="A168" s="8"/>
      <c r="B168" s="5" t="b">
        <f>RETURN()</f>
        <v>1</v>
      </c>
      <c r="C168" s="12"/>
    </row>
    <row r="169" spans="1:3">
      <c r="A169" s="16"/>
      <c r="B169" s="16"/>
      <c r="C169" s="16"/>
    </row>
    <row r="170" spans="1:3" ht="15.75">
      <c r="A170" s="6"/>
      <c r="B170" s="1" t="s">
        <v>33</v>
      </c>
      <c r="C170" s="10"/>
    </row>
    <row r="171" spans="1:3">
      <c r="A171" s="7"/>
      <c r="B171" s="3" t="str">
        <f>REGISTER(Example)</f>
        <v>Example.xll</v>
      </c>
      <c r="C171" s="11"/>
    </row>
    <row r="172" spans="1:3">
      <c r="A172" s="7"/>
      <c r="B172" s="3">
        <f>IF(LEFT(GET.WORKSPACE(1),3)="Win",_xll.fArray(),)</f>
        <v>0</v>
      </c>
      <c r="C172" s="11"/>
    </row>
    <row r="173" spans="1:3">
      <c r="A173" s="7"/>
      <c r="B173" s="3">
        <f>IF(LEFT(GET.WORKSPACE(1),3)="Mac",GetString(),)</f>
        <v>0</v>
      </c>
      <c r="C173" s="11"/>
    </row>
    <row r="174" spans="1:3">
      <c r="A174" s="8"/>
      <c r="B174" s="17" t="b">
        <f>RETURN(UNREGISTER(Example))</f>
        <v>1</v>
      </c>
      <c r="C174" s="12"/>
    </row>
    <row r="175" spans="1:3">
      <c r="A175" s="16"/>
      <c r="B175" s="16"/>
      <c r="C175" s="16"/>
    </row>
    <row r="176" spans="1:3" ht="15.75">
      <c r="A176" s="6"/>
      <c r="B176" s="1" t="s">
        <v>34</v>
      </c>
      <c r="C176" s="10"/>
    </row>
    <row r="177" spans="1:3">
      <c r="A177" s="7"/>
      <c r="B177" s="3">
        <f>REGISTER(Example, "xlCoerceExample", "II")</f>
        <v>-2025324544</v>
      </c>
      <c r="C177" s="11"/>
    </row>
    <row r="178" spans="1:3">
      <c r="A178" s="7"/>
      <c r="B178" s="3">
        <f>CALL(B177,25)</f>
        <v>1</v>
      </c>
      <c r="C178" s="11"/>
    </row>
    <row r="179" spans="1:3">
      <c r="A179" s="7"/>
      <c r="B179" s="3" t="b">
        <f>UNREGISTER(Example)</f>
        <v>1</v>
      </c>
      <c r="C179" s="11"/>
    </row>
    <row r="180" spans="1:3">
      <c r="A180" s="8"/>
      <c r="B180" s="17" t="b">
        <f>RETURN()</f>
        <v>1</v>
      </c>
      <c r="C180" s="12"/>
    </row>
    <row r="181" spans="1:3">
      <c r="A181" s="16"/>
      <c r="B181" s="16"/>
      <c r="C181" s="16"/>
    </row>
    <row r="182" spans="1:3" ht="15.75">
      <c r="A182" s="6"/>
      <c r="B182" s="1" t="s">
        <v>35</v>
      </c>
      <c r="C182" s="10"/>
    </row>
    <row r="183" spans="1:3">
      <c r="A183" s="7"/>
      <c r="B183" s="3">
        <f>REGISTER(Example, "xlFreeExample", "I")</f>
        <v>1486749696</v>
      </c>
      <c r="C183" s="11"/>
    </row>
    <row r="184" spans="1:3">
      <c r="A184" s="7"/>
      <c r="B184" s="3">
        <f>CALL(B183)</f>
        <v>1</v>
      </c>
      <c r="C184" s="11"/>
    </row>
    <row r="185" spans="1:3">
      <c r="A185" s="7"/>
      <c r="B185" s="3" t="b">
        <f>UNREGISTER(Example)</f>
        <v>1</v>
      </c>
      <c r="C185" s="11"/>
    </row>
    <row r="186" spans="1:3">
      <c r="A186" s="8"/>
      <c r="B186" s="17" t="b">
        <f>RETURN()</f>
        <v>1</v>
      </c>
      <c r="C186" s="12"/>
    </row>
    <row r="187" spans="1:3">
      <c r="A187" s="16"/>
      <c r="B187" s="16"/>
      <c r="C187" s="16"/>
    </row>
    <row r="188" spans="1:3" ht="15.75">
      <c r="A188" s="6"/>
      <c r="B188" s="1" t="s">
        <v>36</v>
      </c>
      <c r="C188" s="10"/>
    </row>
    <row r="189" spans="1:3">
      <c r="A189" s="7"/>
      <c r="B189" s="3" t="b">
        <f>LEFT(GET.WORKSPACE(1),3)="Mac"</f>
        <v>0</v>
      </c>
      <c r="C189" s="11"/>
    </row>
    <row r="190" spans="1:3">
      <c r="A190" s="7"/>
      <c r="B190" s="3" t="b">
        <f>IF(NOT(B189))</f>
        <v>1</v>
      </c>
      <c r="C190" s="11"/>
    </row>
    <row r="191" spans="1:3">
      <c r="A191" s="7"/>
      <c r="B191" s="3">
        <f xml:space="preserve">   REGISTER(Example, "xlGetInstExample", "I")</f>
        <v>861470720</v>
      </c>
      <c r="C191" s="11"/>
    </row>
    <row r="192" spans="1:3">
      <c r="A192" s="7"/>
      <c r="B192" s="3">
        <f xml:space="preserve">    CALL(B191)</f>
        <v>1</v>
      </c>
      <c r="C192" s="11"/>
    </row>
    <row r="193" spans="1:3">
      <c r="A193" s="7"/>
      <c r="B193" s="3" t="b">
        <f xml:space="preserve">   ALERT(IF(B192=0,"Different or first", "Same")&amp;" Instance")</f>
        <v>1</v>
      </c>
      <c r="C193" s="11"/>
    </row>
    <row r="194" spans="1:3">
      <c r="A194" s="7"/>
      <c r="B194" s="3" t="b">
        <f>END.IF()</f>
        <v>1</v>
      </c>
      <c r="C194" s="11"/>
    </row>
    <row r="195" spans="1:3">
      <c r="A195" s="8"/>
      <c r="B195" s="17" t="b">
        <f>RETURN()</f>
        <v>1</v>
      </c>
      <c r="C195" s="12"/>
    </row>
    <row r="196" spans="1:3">
      <c r="A196" s="16"/>
      <c r="B196" s="16"/>
      <c r="C196" s="16"/>
    </row>
    <row r="197" spans="1:3" ht="15.75">
      <c r="A197" s="6"/>
      <c r="B197" s="1" t="s">
        <v>37</v>
      </c>
      <c r="C197" s="10"/>
    </row>
    <row r="198" spans="1:3">
      <c r="A198" s="7"/>
      <c r="B198" s="3">
        <f>REGISTER(Example, "xlGetNameExample", "I")</f>
        <v>1302855681</v>
      </c>
      <c r="C198" s="11"/>
    </row>
    <row r="199" spans="1:3">
      <c r="A199" s="7"/>
      <c r="B199" s="3">
        <f>CALL(B198)</f>
        <v>1</v>
      </c>
      <c r="C199" s="11"/>
    </row>
    <row r="200" spans="1:3">
      <c r="A200" s="7"/>
      <c r="B200" s="3" t="b">
        <f>UNREGISTER(Example)</f>
        <v>1</v>
      </c>
      <c r="C200" s="11"/>
    </row>
    <row r="201" spans="1:3">
      <c r="A201" s="8"/>
      <c r="B201" s="17" t="b">
        <f>RETURN()</f>
        <v>1</v>
      </c>
      <c r="C201" s="12"/>
    </row>
    <row r="202" spans="1:3">
      <c r="A202" s="16"/>
      <c r="B202" s="16"/>
      <c r="C202" s="16"/>
    </row>
    <row r="203" spans="1:3" ht="15.75">
      <c r="A203" s="6"/>
      <c r="B203" s="1" t="s">
        <v>38</v>
      </c>
      <c r="C203" s="10"/>
    </row>
    <row r="204" spans="1:3">
      <c r="A204" s="7"/>
      <c r="B204" s="3">
        <f>REGISTER(Example, "xlSetExample", "II")</f>
        <v>1780875264</v>
      </c>
      <c r="C204" s="11"/>
    </row>
    <row r="205" spans="1:3">
      <c r="A205" s="7"/>
      <c r="B205" s="3"/>
      <c r="C205" s="11" t="s">
        <v>39</v>
      </c>
    </row>
    <row r="206" spans="1:3">
      <c r="A206" s="7"/>
      <c r="B206" s="3"/>
      <c r="C206" s="11" t="s">
        <v>39</v>
      </c>
    </row>
    <row r="207" spans="1:3">
      <c r="A207" s="7"/>
      <c r="B207" s="3">
        <f>CALL(B204, 100)</f>
        <v>1</v>
      </c>
      <c r="C207" s="11"/>
    </row>
    <row r="208" spans="1:3">
      <c r="A208" s="7"/>
      <c r="B208" s="3" t="b">
        <f>UNREGISTER(Example)</f>
        <v>1</v>
      </c>
      <c r="C208" s="11"/>
    </row>
    <row r="209" spans="1:3">
      <c r="A209" s="8"/>
      <c r="B209" s="17" t="b">
        <f>RETURN()</f>
        <v>1</v>
      </c>
      <c r="C209" s="12"/>
    </row>
    <row r="210" spans="1:3">
      <c r="A210" s="16"/>
      <c r="B210" s="16"/>
      <c r="C210" s="16"/>
    </row>
    <row r="211" spans="1:3" ht="15.75">
      <c r="A211" s="6"/>
      <c r="B211" s="1" t="s">
        <v>40</v>
      </c>
      <c r="C211" s="10"/>
    </row>
    <row r="212" spans="1:3">
      <c r="A212" s="7"/>
      <c r="B212" s="3">
        <f>REGISTER(Example, "xlSheetIdExample", "I")</f>
        <v>-30801920</v>
      </c>
      <c r="C212" s="11"/>
    </row>
    <row r="213" spans="1:3">
      <c r="A213" s="7"/>
      <c r="B213" s="3">
        <f>CALL(B212)</f>
        <v>1</v>
      </c>
      <c r="C213" s="11"/>
    </row>
    <row r="214" spans="1:3">
      <c r="A214" s="7"/>
      <c r="B214" s="3" t="b">
        <f>UNREGISTER(Example)</f>
        <v>1</v>
      </c>
      <c r="C214" s="11"/>
    </row>
    <row r="215" spans="1:3">
      <c r="A215" s="8"/>
      <c r="B215" s="17" t="b">
        <f>RETURN()</f>
        <v>1</v>
      </c>
      <c r="C215" s="12"/>
    </row>
    <row r="216" spans="1:3">
      <c r="A216" s="16"/>
      <c r="B216" s="16"/>
      <c r="C216" s="16"/>
    </row>
    <row r="217" spans="1:3" ht="15.75">
      <c r="A217" s="6"/>
      <c r="B217" s="1" t="s">
        <v>41</v>
      </c>
      <c r="C217" s="10"/>
    </row>
    <row r="218" spans="1:3">
      <c r="A218" s="7"/>
      <c r="B218" s="3">
        <f>REGISTER(Example, "xlSheetNmExample", "I")</f>
        <v>-28114944</v>
      </c>
      <c r="C218" s="11"/>
    </row>
    <row r="219" spans="1:3">
      <c r="A219" s="7"/>
      <c r="B219" s="3">
        <f>CALL(B218)</f>
        <v>1</v>
      </c>
      <c r="C219" s="11"/>
    </row>
    <row r="220" spans="1:3">
      <c r="A220" s="7"/>
      <c r="B220" s="3" t="b">
        <f>UNREGISTER(Example)</f>
        <v>1</v>
      </c>
      <c r="C220" s="11"/>
    </row>
    <row r="221" spans="1:3">
      <c r="A221" s="8"/>
      <c r="B221" s="17" t="b">
        <f>RETURN()</f>
        <v>1</v>
      </c>
      <c r="C221" s="12"/>
    </row>
    <row r="222" spans="1:3">
      <c r="A222" s="16"/>
      <c r="B222" s="16"/>
      <c r="C222" s="16"/>
    </row>
    <row r="223" spans="1:3" ht="15.75">
      <c r="A223" s="6"/>
      <c r="B223" s="1" t="s">
        <v>42</v>
      </c>
      <c r="C223" s="10"/>
    </row>
    <row r="224" spans="1:3">
      <c r="A224" s="7"/>
      <c r="B224" s="3">
        <f>IF(LEFT(GET.WORKSPACE(1),3)="Mac",RETURN(ALERT("This function only available on Windows")),REGISTER(Example, "xlStackExample", "I"))</f>
        <v>311164928</v>
      </c>
      <c r="C224" s="11"/>
    </row>
    <row r="225" spans="1:3">
      <c r="A225" s="7"/>
      <c r="B225" s="3">
        <f>CALL(B224)</f>
        <v>1</v>
      </c>
      <c r="C225" s="11"/>
    </row>
    <row r="226" spans="1:3">
      <c r="A226" s="7"/>
      <c r="B226" s="3" t="b">
        <f>UNREGISTER(Example)</f>
        <v>1</v>
      </c>
      <c r="C226" s="11"/>
    </row>
    <row r="227" spans="1:3">
      <c r="A227" s="8"/>
      <c r="B227" s="17" t="b">
        <f>RETURN()</f>
        <v>1</v>
      </c>
      <c r="C227" s="12"/>
    </row>
    <row r="228" spans="1:3">
      <c r="A228" s="16"/>
      <c r="B228" s="16"/>
      <c r="C228" s="16"/>
    </row>
    <row r="229" spans="1:3" ht="15.75">
      <c r="A229" s="6"/>
      <c r="B229" s="1" t="s">
        <v>43</v>
      </c>
      <c r="C229" s="10"/>
    </row>
    <row r="230" spans="1:3">
      <c r="A230" s="7"/>
      <c r="B230" s="3">
        <f>REGISTER(Example, "xlUDFExample", "I")</f>
        <v>-633667584</v>
      </c>
      <c r="C230" s="11"/>
    </row>
    <row r="231" spans="1:3">
      <c r="A231" s="7"/>
      <c r="B231" s="3">
        <f>CALL(B230)</f>
        <v>1</v>
      </c>
      <c r="C231" s="11"/>
    </row>
    <row r="232" spans="1:3">
      <c r="A232" s="7"/>
      <c r="B232" s="3" t="b">
        <f>UNREGISTER(Example)</f>
        <v>1</v>
      </c>
      <c r="C232" s="11"/>
    </row>
    <row r="233" spans="1:3">
      <c r="A233" s="8"/>
      <c r="B233" s="17" t="b">
        <f>RETURN()</f>
        <v>1</v>
      </c>
      <c r="C233" s="12"/>
    </row>
    <row r="234" spans="1:3">
      <c r="A234" s="16"/>
      <c r="B234" s="16"/>
      <c r="C234" s="16"/>
    </row>
    <row r="235" spans="1:3" ht="15.75">
      <c r="A235" s="6"/>
      <c r="B235" s="22" t="s">
        <v>47</v>
      </c>
      <c r="C235" s="10"/>
    </row>
    <row r="236" spans="1:3">
      <c r="A236" s="7"/>
      <c r="B236" s="3">
        <f>REGISTER(Example, "InternationalExample", "I")</f>
        <v>1933836288</v>
      </c>
      <c r="C236" s="11"/>
    </row>
    <row r="237" spans="1:3">
      <c r="A237" s="7"/>
      <c r="B237" s="3">
        <f>CALL(B236)</f>
        <v>0</v>
      </c>
      <c r="C237" s="11"/>
    </row>
    <row r="238" spans="1:3">
      <c r="A238" s="7"/>
      <c r="B238" s="3">
        <f>SUM(1,2)</f>
        <v>3</v>
      </c>
      <c r="C238" s="11"/>
    </row>
    <row r="239" spans="1:3">
      <c r="A239" s="7"/>
      <c r="B239" s="3" t="b">
        <f>UNREGISTER(Example)</f>
        <v>1</v>
      </c>
      <c r="C239" s="11"/>
    </row>
    <row r="240" spans="1:3">
      <c r="A240" s="8"/>
      <c r="B240" s="17" t="b">
        <f>RETURN()</f>
        <v>1</v>
      </c>
      <c r="C240" s="12"/>
    </row>
    <row r="241" spans="1:3">
      <c r="A241" s="16"/>
      <c r="B241" s="16"/>
      <c r="C241" s="16"/>
    </row>
    <row r="242" spans="1:3" ht="15.75">
      <c r="A242" s="6"/>
      <c r="B242" s="1" t="s">
        <v>44</v>
      </c>
      <c r="C242" s="10"/>
    </row>
    <row r="243" spans="1:3">
      <c r="A243" s="7"/>
      <c r="B243" s="3" t="b">
        <f>ALERT("Made it!",2)</f>
        <v>1</v>
      </c>
      <c r="C243" s="11"/>
    </row>
    <row r="244" spans="1:3">
      <c r="A244" s="8"/>
      <c r="B244" s="17" t="b">
        <f>RETURN()</f>
        <v>1</v>
      </c>
      <c r="C244" s="12"/>
    </row>
    <row r="245" spans="1:3">
      <c r="A245" s="16"/>
      <c r="B245" s="16"/>
      <c r="C245" s="16"/>
    </row>
    <row r="246" spans="1:3" ht="15.75">
      <c r="A246" s="6"/>
      <c r="B246" s="22" t="s">
        <v>45</v>
      </c>
      <c r="C246" s="10" t="s">
        <v>46</v>
      </c>
    </row>
    <row r="247" spans="1:3">
      <c r="A247" s="7"/>
      <c r="B247" s="3" t="b">
        <f>GOTO(ACTIVE.CELL())</f>
        <v>1</v>
      </c>
      <c r="C247" s="11"/>
    </row>
    <row r="248" spans="1:3">
      <c r="A248" s="8"/>
      <c r="B248" s="17" t="b">
        <f>RETURN()</f>
        <v>1</v>
      </c>
      <c r="C248" s="12"/>
    </row>
    <row r="249" spans="1:3">
      <c r="A249" s="16"/>
      <c r="B249" s="16"/>
      <c r="C249" s="16"/>
    </row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8100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100000" t="-60000" r="100000" b="20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Excel 4.0 Macros</vt:lpstr>
      </vt:variant>
      <vt:variant>
        <vt:i4>1</vt:i4>
      </vt:variant>
    </vt:vector>
  </HeadingPairs>
  <TitlesOfParts>
    <vt:vector size="1" baseType="lpstr">
      <vt:lpstr>Examples from the Book</vt:lpstr>
    </vt:vector>
  </TitlesOfParts>
  <Company>Baarns Consulting Group,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Kinsman</dc:creator>
  <cp:lastModifiedBy>Microsoft Corporation</cp:lastModifiedBy>
  <dcterms:created xsi:type="dcterms:W3CDTF">1996-12-07T04:13:58Z</dcterms:created>
  <dcterms:modified xsi:type="dcterms:W3CDTF">2009-06-06T01:09:25Z</dcterms:modified>
</cp:coreProperties>
</file>